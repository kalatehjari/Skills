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iezo" displayName="Piezo" ref="A1:B7" headerRowCount="1">
  <autoFilter ref="A1:B7"/>
  <tableColumns count="2">
    <tableColumn id="1" name="Date"/>
    <tableColumn id="2" name="Readi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Atterberg limits — Lot 12</t>
        </is>
      </c>
    </row>
    <row r="3">
      <c r="A3" t="inlineStr">
        <is>
          <t>Sample</t>
        </is>
      </c>
      <c r="B3" t="inlineStr">
        <is>
          <t>Depth (m)</t>
        </is>
      </c>
      <c r="C3" t="inlineStr">
        <is>
          <t>w (%)</t>
        </is>
      </c>
      <c r="D3" t="inlineStr">
        <is>
          <t>LL (%)</t>
        </is>
      </c>
      <c r="E3" t="inlineStr">
        <is>
          <t>PL (%)</t>
        </is>
      </c>
      <c r="F3" t="inlineStr">
        <is>
          <t>PI (%)</t>
        </is>
      </c>
    </row>
    <row r="4">
      <c r="A4" t="inlineStr">
        <is>
          <t>BH1-S1</t>
        </is>
      </c>
      <c r="B4" t="n">
        <v>1.5</v>
      </c>
      <c r="C4" t="n">
        <v>32.1</v>
      </c>
      <c r="D4" t="n">
        <v>48</v>
      </c>
      <c r="E4" t="n">
        <v>22</v>
      </c>
      <c r="F4">
        <f>D4-E4</f>
        <v/>
      </c>
      <c r="H4" t="inlineStr">
        <is>
          <t>Activity</t>
        </is>
      </c>
    </row>
    <row r="5">
      <c r="A5" t="inlineStr">
        <is>
          <t>BH1-S2</t>
        </is>
      </c>
      <c r="B5" t="n">
        <v>3</v>
      </c>
      <c r="C5" t="n">
        <v>28.4</v>
      </c>
      <c r="D5" t="n">
        <v>52</v>
      </c>
      <c r="E5" t="n">
        <v>24</v>
      </c>
      <c r="F5">
        <f>D5-E5</f>
        <v/>
      </c>
      <c r="H5">
        <f>F5/E9</f>
        <v/>
      </c>
    </row>
    <row r="6">
      <c r="A6" t="inlineStr">
        <is>
          <t>BH2-S1</t>
        </is>
      </c>
      <c r="B6" t="n">
        <v>1</v>
      </c>
      <c r="C6" t="n">
        <v>35</v>
      </c>
      <c r="D6" t="n">
        <v>61</v>
      </c>
      <c r="E6" t="n">
        <v>27</v>
      </c>
      <c r="F6">
        <f>D6-E6</f>
        <v/>
      </c>
      <c r="H6">
        <f>F6/0</f>
        <v/>
      </c>
    </row>
    <row r="7">
      <c r="A7" t="inlineStr">
        <is>
          <t>BH2-S2</t>
        </is>
      </c>
      <c r="B7" t="n">
        <v>2.5</v>
      </c>
      <c r="C7" t="inlineStr">
        <is>
          <t>29.9</t>
        </is>
      </c>
      <c r="D7" t="n">
        <v>45</v>
      </c>
      <c r="E7" t="n">
        <v>21</v>
      </c>
      <c r="F7" t="n">
        <v>24</v>
      </c>
    </row>
    <row r="8">
      <c r="A8" t="inlineStr">
        <is>
          <t>BH3-S1</t>
        </is>
      </c>
      <c r="B8" t="n">
        <v>2</v>
      </c>
      <c r="C8" t="n">
        <v>30.2</v>
      </c>
      <c r="D8" t="n">
        <v>39</v>
      </c>
      <c r="E8" t="n">
        <v>0</v>
      </c>
      <c r="F8">
        <f>D8-E8+0</f>
        <v/>
      </c>
    </row>
    <row r="10">
      <c r="A10" t="inlineStr">
        <is>
          <t>Mean</t>
        </is>
      </c>
      <c r="C10">
        <f>AVERAGE(C4:C8)</f>
        <v/>
      </c>
      <c r="D10">
        <f>AVERAGE(D4:D8)</f>
        <v/>
      </c>
      <c r="E10">
        <f>AVERAGE(E4:E8)</f>
        <v/>
      </c>
      <c r="F10">
        <f>AVERAGE(F4:F8)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Borehole</t>
        </is>
      </c>
      <c r="B1" t="inlineStr">
        <is>
          <t>Samples</t>
        </is>
      </c>
      <c r="C1" t="inlineStr">
        <is>
          <t>Mean LL</t>
        </is>
      </c>
    </row>
    <row r="2">
      <c r="A2" t="inlineStr">
        <is>
          <t>BH1</t>
        </is>
      </c>
      <c r="B2">
        <f>COUNTIFS(Lab!A4:A8,"BH1*")</f>
        <v/>
      </c>
      <c r="C2">
        <f>AVERAGEIFS(Lab!D4:D8,Lab!A4:A8,"BH1*")</f>
        <v/>
      </c>
    </row>
    <row r="3">
      <c r="A3" t="inlineStr">
        <is>
          <t>BH2</t>
        </is>
      </c>
      <c r="B3">
        <f>COUNTIFS(Lab!A4:A8,"BH2*")</f>
        <v/>
      </c>
      <c r="C3">
        <f>AVERAGEIFS(Lab!D4:D8,Lab!A4:A8,"BH2*")</f>
        <v/>
      </c>
    </row>
    <row r="4">
      <c r="A4" t="inlineStr">
        <is>
          <t>BH3</t>
        </is>
      </c>
      <c r="B4">
        <f>COUNTIFS(Lab!A4:A8,"BH3*")</f>
        <v/>
      </c>
      <c r="C4">
        <f>AVERAGEIFS(Lab!D4:D8,Lab!A4:A8,"BH3*")</f>
        <v/>
      </c>
    </row>
    <row r="5">
      <c r="A5" t="inlineStr">
        <is>
          <t>All</t>
        </is>
      </c>
      <c r="B5">
        <f>SUM(B2:B4)</f>
        <v/>
      </c>
      <c r="C5">
        <f>Lab!D10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Reading</t>
        </is>
      </c>
    </row>
    <row r="2">
      <c r="A2" s="2" t="n">
        <v>46266</v>
      </c>
      <c r="B2" t="n">
        <v>2.4</v>
      </c>
    </row>
    <row r="3">
      <c r="A3" s="2" t="n">
        <v>46267</v>
      </c>
      <c r="B3" t="n">
        <v>2.45</v>
      </c>
    </row>
    <row r="4">
      <c r="A4" s="2" t="n">
        <v>46268</v>
      </c>
      <c r="B4" t="n">
        <v>2.5</v>
      </c>
    </row>
    <row r="5">
      <c r="A5" s="2" t="n">
        <v>46269</v>
      </c>
      <c r="B5" t="n">
        <v>2.55</v>
      </c>
    </row>
    <row r="6">
      <c r="A6" s="2" t="n">
        <v>46270</v>
      </c>
      <c r="B6" t="n">
        <v>2.6</v>
      </c>
    </row>
    <row r="7">
      <c r="A7" s="2" t="n">
        <v>46271</v>
      </c>
      <c r="B7" t="n">
        <v>2.65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2026-10-03T02:54:38Z</dcterms:created>
  <dcterms:modified xmlns:dcterms="http://purl.org/dc/terms/" xmlns:xsi="http://www.w3.org/2001/XMLSchema-instance" xsi:type="dcterms:W3CDTF">2026-10-03T02:54:38Z</dcterms:modified>
</cp:coreProperties>
</file>